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cietenouvellecatalys-my.sharepoint.com/personal/maela_collong_catalys-conseil_fr/Documents/FORMATION DATA/Module 1/"/>
    </mc:Choice>
  </mc:AlternateContent>
  <xr:revisionPtr revIDLastSave="42" documentId="8_{70FDBD69-C70F-48ED-ABCE-87055281A3C7}" xr6:coauthVersionLast="47" xr6:coauthVersionMax="47" xr10:uidLastSave="{4C6BDBF3-DA97-461B-8576-7115EBB29092}"/>
  <bookViews>
    <workbookView xWindow="-120" yWindow="-120" windowWidth="29040" windowHeight="15720" xr2:uid="{00000000-000D-0000-FFFF-FFFF00000000}"/>
  </bookViews>
  <sheets>
    <sheet name="Formation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L12" i="1"/>
  <c r="L13" i="1"/>
  <c r="L14" i="1"/>
  <c r="L15" i="1"/>
  <c r="L16" i="1"/>
  <c r="L17" i="1"/>
  <c r="L18" i="1"/>
  <c r="L19" i="1"/>
  <c r="L20" i="1"/>
  <c r="L10" i="1"/>
  <c r="L11" i="1"/>
  <c r="M10" i="1"/>
  <c r="H10" i="1"/>
  <c r="G11" i="1" s="1"/>
  <c r="H11" i="1" s="1"/>
  <c r="J10" i="1"/>
  <c r="E10" i="1"/>
  <c r="M12" i="1"/>
  <c r="M13" i="1"/>
  <c r="J14" i="1"/>
  <c r="M14" i="1" s="1"/>
  <c r="J15" i="1"/>
  <c r="M15" i="1" s="1"/>
  <c r="M16" i="1"/>
  <c r="J17" i="1"/>
  <c r="M17" i="1" s="1"/>
  <c r="J18" i="1"/>
  <c r="M18" i="1" s="1"/>
  <c r="J19" i="1"/>
  <c r="M19" i="1" s="1"/>
  <c r="J20" i="1"/>
  <c r="M20" i="1" s="1"/>
  <c r="D11" i="1"/>
  <c r="G12" i="1" l="1"/>
  <c r="H12" i="1" s="1"/>
  <c r="E11" i="1"/>
  <c r="D12" i="1" s="1"/>
  <c r="G13" i="1" l="1"/>
  <c r="H13" i="1" s="1"/>
  <c r="E12" i="1"/>
  <c r="D13" i="1" s="1"/>
  <c r="G14" i="1" l="1"/>
  <c r="H14" i="1" s="1"/>
  <c r="E13" i="1"/>
  <c r="D14" i="1" s="1"/>
  <c r="G15" i="1" l="1"/>
  <c r="H15" i="1" s="1"/>
  <c r="E14" i="1"/>
  <c r="D15" i="1" s="1"/>
  <c r="G16" i="1" s="1"/>
  <c r="H16" i="1" s="1"/>
  <c r="E15" i="1" l="1"/>
  <c r="D16" i="1" s="1"/>
  <c r="G17" i="1" s="1"/>
  <c r="H17" i="1" s="1"/>
  <c r="E16" i="1" l="1"/>
  <c r="D17" i="1" s="1"/>
  <c r="G18" i="1" s="1"/>
  <c r="H18" i="1" s="1"/>
  <c r="E17" i="1" l="1"/>
  <c r="D18" i="1" s="1"/>
  <c r="G19" i="1" s="1"/>
  <c r="H19" i="1" s="1"/>
  <c r="E18" i="1" l="1"/>
  <c r="D19" i="1" s="1"/>
  <c r="G20" i="1" s="1"/>
  <c r="H20" i="1" s="1"/>
  <c r="E19" i="1" l="1"/>
  <c r="D20" i="1" s="1"/>
  <c r="E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Maela COLLONG</author>
  </authors>
  <commentList>
    <comment ref="H11" authorId="0" shapeId="0" xr:uid="{282D2057-2A6A-40F3-915B-BCC0D92F5288}">
      <text>
        <r>
          <rPr>
            <b/>
            <sz val="9"/>
            <color indexed="81"/>
            <rFont val="Tahoma"/>
            <family val="2"/>
          </rPr>
          <t>Maela COLLONG:</t>
        </r>
        <r>
          <rPr>
            <sz val="9"/>
            <color indexed="81"/>
            <rFont val="Tahoma"/>
            <family val="2"/>
          </rPr>
          <t xml:space="preserve">
Absence de 4 jours sur la semaine n°7 du 10 au 16/02</t>
        </r>
      </text>
    </comment>
    <comment ref="H15" authorId="0" shapeId="0" xr:uid="{B9A19708-354C-4270-9064-B4DEA85917E2}">
      <text>
        <r>
          <rPr>
            <b/>
            <sz val="9"/>
            <color indexed="81"/>
            <rFont val="Tahoma"/>
            <family val="2"/>
          </rPr>
          <t>Maela COLLONG:</t>
        </r>
        <r>
          <rPr>
            <sz val="9"/>
            <color indexed="81"/>
            <rFont val="Tahoma"/>
            <family val="2"/>
          </rPr>
          <t xml:space="preserve">
Absence de 3 semaines pour congés</t>
        </r>
      </text>
    </comment>
    <comment ref="H18" authorId="0" shapeId="0" xr:uid="{2678EFA2-D393-4E46-B79C-99FAFB52CC53}">
      <text>
        <r>
          <rPr>
            <b/>
            <sz val="9"/>
            <color indexed="81"/>
            <rFont val="Tahoma"/>
            <family val="2"/>
          </rPr>
          <t>Maela COLLONG:</t>
        </r>
        <r>
          <rPr>
            <sz val="9"/>
            <color indexed="81"/>
            <rFont val="Tahoma"/>
            <family val="2"/>
          </rPr>
          <t xml:space="preserve">
Absence d'une semaine pour congés</t>
        </r>
      </text>
    </comment>
  </commentList>
</comments>
</file>

<file path=xl/sharedStrings.xml><?xml version="1.0" encoding="utf-8"?>
<sst xmlns="http://schemas.openxmlformats.org/spreadsheetml/2006/main" count="32" uniqueCount="32">
  <si>
    <t>Module</t>
  </si>
  <si>
    <t>Nom</t>
  </si>
  <si>
    <t>Démarrez votre formation</t>
  </si>
  <si>
    <t>Visualisez des données avec Excel</t>
  </si>
  <si>
    <t>Requêtez une base de données avec SQL</t>
  </si>
  <si>
    <t>Collectez des données en respectant les normes RGPD</t>
  </si>
  <si>
    <t>Manipulez une base de données avec SQL</t>
  </si>
  <si>
    <t>Optimisez la gestion et nettoyez les données</t>
  </si>
  <si>
    <t>Créez un tableau de bord dynamique avec PowerBI</t>
  </si>
  <si>
    <t>Analysez l'évolution des prix de l'immobilier avec Python</t>
  </si>
  <si>
    <t>Améliorez les performances de l'entreprise</t>
  </si>
  <si>
    <t>Analysez une demande business et identifiez les segments</t>
  </si>
  <si>
    <t>Créez votre portfolio de professionnel de la data</t>
  </si>
  <si>
    <t>Volume horaire initial</t>
  </si>
  <si>
    <t>Date prévsionnelle de démarrage</t>
  </si>
  <si>
    <t>Date prévsionnelle de fin</t>
  </si>
  <si>
    <t>Volume Horaire Ajusté</t>
  </si>
  <si>
    <t>Date Prev Demarrage Ajustee</t>
  </si>
  <si>
    <t>Date Prev fin Ajustee</t>
  </si>
  <si>
    <t>Volume Horaire Restant à réaliser sur le module</t>
  </si>
  <si>
    <t>Taux réalisation actuel</t>
  </si>
  <si>
    <t>Date Reelle Demarrage</t>
  </si>
  <si>
    <t>Date Fin Recalculee</t>
  </si>
  <si>
    <t>NOM Prénom</t>
  </si>
  <si>
    <t>COLLONG Maela</t>
  </si>
  <si>
    <t>PARCOURS - Intitulé</t>
  </si>
  <si>
    <t>Business Intelligence Analyst</t>
  </si>
  <si>
    <t>Date de début de formation</t>
  </si>
  <si>
    <t>Date de fin de formation</t>
  </si>
  <si>
    <t>PLANIFICATION PREVISIONNELLE SUIVI DE FORMATION</t>
  </si>
  <si>
    <t>Date de mise à jour</t>
  </si>
  <si>
    <t>Temps disponible restant sur le module (jours)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</si>
</sst>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1" fontId="0" fillId="0" borderId="1" xfId="0" applyNumberFormat="1" applyBorder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tabSelected="1" workbookViewId="0">
      <selection activeCell="J18" sqref="J18"/>
    </sheetView>
  </sheetViews>
  <sheetFormatPr baseColWidth="10" defaultColWidth="9.140625" defaultRowHeight="15" x14ac:dyDescent="0.25"/>
  <cols>
    <col min="1" max="1" width="9.140625" style="2"/>
    <col min="2" max="2" width="54.140625" bestFit="1" customWidth="1"/>
    <col min="3" max="3" width="10.28515625" style="2" customWidth="1"/>
    <col min="4" max="4" width="15.140625" customWidth="1"/>
    <col min="5" max="5" width="14.42578125" customWidth="1"/>
    <col min="6" max="6" width="10.42578125" customWidth="1"/>
    <col min="7" max="8" width="12.42578125" customWidth="1"/>
    <col min="9" max="9" width="11.28515625" bestFit="1" customWidth="1"/>
    <col min="10" max="10" width="10.7109375" bestFit="1" customWidth="1"/>
    <col min="11" max="11" width="11.28515625" customWidth="1"/>
    <col min="12" max="12" width="15.42578125" customWidth="1"/>
    <col min="13" max="13" width="11.42578125" customWidth="1"/>
  </cols>
  <sheetData>
    <row r="1" spans="1:13" ht="23.25" x14ac:dyDescent="0.35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4" spans="1:13" x14ac:dyDescent="0.25">
      <c r="B4" t="s">
        <v>23</v>
      </c>
      <c r="C4" s="14" t="s">
        <v>24</v>
      </c>
      <c r="D4" s="14"/>
      <c r="E4" s="14"/>
      <c r="G4" t="s">
        <v>30</v>
      </c>
      <c r="I4" s="1">
        <v>45790</v>
      </c>
    </row>
    <row r="5" spans="1:13" x14ac:dyDescent="0.25">
      <c r="B5" t="s">
        <v>25</v>
      </c>
      <c r="C5" s="14" t="s">
        <v>26</v>
      </c>
      <c r="D5" s="14"/>
      <c r="E5" s="14"/>
    </row>
    <row r="6" spans="1:13" x14ac:dyDescent="0.25">
      <c r="B6" t="s">
        <v>27</v>
      </c>
      <c r="C6" s="15">
        <v>45667</v>
      </c>
      <c r="D6" s="15"/>
      <c r="E6" s="15"/>
    </row>
    <row r="7" spans="1:13" x14ac:dyDescent="0.25">
      <c r="B7" t="s">
        <v>28</v>
      </c>
      <c r="C7" s="15">
        <v>46209</v>
      </c>
      <c r="D7" s="15"/>
      <c r="E7" s="15"/>
    </row>
    <row r="9" spans="1:13" s="3" customFormat="1" ht="75" x14ac:dyDescent="0.25">
      <c r="A9" s="4" t="s">
        <v>0</v>
      </c>
      <c r="B9" s="4" t="s">
        <v>1</v>
      </c>
      <c r="C9" s="5" t="s">
        <v>13</v>
      </c>
      <c r="D9" s="5" t="s">
        <v>14</v>
      </c>
      <c r="E9" s="5" t="s">
        <v>15</v>
      </c>
      <c r="F9" s="6" t="s">
        <v>16</v>
      </c>
      <c r="G9" s="6" t="s">
        <v>17</v>
      </c>
      <c r="H9" s="6" t="s">
        <v>18</v>
      </c>
      <c r="I9" s="7" t="s">
        <v>21</v>
      </c>
      <c r="J9" s="7" t="s">
        <v>22</v>
      </c>
      <c r="K9" s="8" t="s">
        <v>20</v>
      </c>
      <c r="L9" s="8" t="s">
        <v>19</v>
      </c>
      <c r="M9" s="8" t="s">
        <v>31</v>
      </c>
    </row>
    <row r="10" spans="1:13" x14ac:dyDescent="0.25">
      <c r="A10" s="9">
        <v>1</v>
      </c>
      <c r="B10" s="10" t="s">
        <v>2</v>
      </c>
      <c r="C10" s="9">
        <v>23</v>
      </c>
      <c r="D10" s="11">
        <v>45667</v>
      </c>
      <c r="E10" s="11">
        <f>D10+(C10/9)*7</f>
        <v>45684.888888888891</v>
      </c>
      <c r="F10" s="10">
        <v>15</v>
      </c>
      <c r="G10" s="11">
        <v>45668</v>
      </c>
      <c r="H10" s="11">
        <f>G10+(F10/9)*7</f>
        <v>45679.666666666664</v>
      </c>
      <c r="I10" s="11">
        <v>45668</v>
      </c>
      <c r="J10" s="11">
        <f>I10+(F10/9)*7</f>
        <v>45679.666666666664</v>
      </c>
      <c r="K10" s="12">
        <v>1</v>
      </c>
      <c r="L10" s="13">
        <f>IF(ISBLANK(K10),F10,(F10-ROUND(F10*K10,)))</f>
        <v>0</v>
      </c>
      <c r="M10" s="10" t="b">
        <f>IF(K10&lt;1,ROUND(J10-$I$4,))</f>
        <v>0</v>
      </c>
    </row>
    <row r="11" spans="1:13" x14ac:dyDescent="0.25">
      <c r="A11" s="9">
        <v>2</v>
      </c>
      <c r="B11" s="10" t="s">
        <v>3</v>
      </c>
      <c r="C11" s="9">
        <v>30</v>
      </c>
      <c r="D11" s="11">
        <f>E10+1</f>
        <v>45685.888888888891</v>
      </c>
      <c r="E11" s="11">
        <f t="shared" ref="E11:E20" si="0">D11+(C11/9)*7</f>
        <v>45709.222222222226</v>
      </c>
      <c r="F11" s="10">
        <v>30</v>
      </c>
      <c r="G11" s="11">
        <f>H10+1</f>
        <v>45680.666666666664</v>
      </c>
      <c r="H11" s="11">
        <f>G11+(F11/9)*7+4</f>
        <v>45708</v>
      </c>
      <c r="I11" s="11">
        <v>45679</v>
      </c>
      <c r="J11" s="11">
        <v>45708</v>
      </c>
      <c r="K11" s="12">
        <v>1</v>
      </c>
      <c r="L11" s="13">
        <f>IF(ISBLANK(K11),F11,(F11-ROUND(F11*K11,)))</f>
        <v>0</v>
      </c>
      <c r="M11" s="10" t="b">
        <f>IF(J11="","",IF(K11&lt;1,ROUND(J11-$I$4,)))</f>
        <v>0</v>
      </c>
    </row>
    <row r="12" spans="1:13" x14ac:dyDescent="0.25">
      <c r="A12" s="9">
        <v>3</v>
      </c>
      <c r="B12" s="10" t="s">
        <v>4</v>
      </c>
      <c r="C12" s="9">
        <v>30</v>
      </c>
      <c r="D12" s="11">
        <f t="shared" ref="D12:D20" si="1">E11+1</f>
        <v>45710.222222222226</v>
      </c>
      <c r="E12" s="11">
        <f t="shared" si="0"/>
        <v>45733.555555555562</v>
      </c>
      <c r="F12" s="10">
        <v>30</v>
      </c>
      <c r="G12" s="11">
        <f t="shared" ref="G12:G20" si="2">H11+1</f>
        <v>45709</v>
      </c>
      <c r="H12" s="11">
        <f>G12+(F12/9)*7</f>
        <v>45732.333333333336</v>
      </c>
      <c r="I12" s="11">
        <v>45708</v>
      </c>
      <c r="J12" s="11">
        <v>45742</v>
      </c>
      <c r="K12" s="12">
        <v>1</v>
      </c>
      <c r="L12" s="13">
        <f t="shared" ref="L12:L20" si="3">IF(ISBLANK(K12),F12,(F12-ROUND(F12*K12,)))</f>
        <v>0</v>
      </c>
      <c r="M12" s="10" t="b">
        <f t="shared" ref="M12:M20" ca="1" si="4">IF(J12="","",IF(K12&lt;1,ROUND(J12-TODAY(),)))</f>
        <v>0</v>
      </c>
    </row>
    <row r="13" spans="1:13" x14ac:dyDescent="0.25">
      <c r="A13" s="9">
        <v>4</v>
      </c>
      <c r="B13" s="10" t="s">
        <v>5</v>
      </c>
      <c r="C13" s="9">
        <v>50</v>
      </c>
      <c r="D13" s="11">
        <f t="shared" si="1"/>
        <v>45734.555555555562</v>
      </c>
      <c r="E13" s="11">
        <f t="shared" si="0"/>
        <v>45773.444444444453</v>
      </c>
      <c r="F13" s="10">
        <v>50</v>
      </c>
      <c r="G13" s="11">
        <f t="shared" si="2"/>
        <v>45733.333333333336</v>
      </c>
      <c r="H13" s="11">
        <f>G13+(F13/9)*7</f>
        <v>45772.222222222226</v>
      </c>
      <c r="I13" s="11">
        <v>45743</v>
      </c>
      <c r="J13" s="11">
        <v>45784</v>
      </c>
      <c r="K13" s="12">
        <v>1</v>
      </c>
      <c r="L13" s="13">
        <f t="shared" si="3"/>
        <v>0</v>
      </c>
      <c r="M13" s="10" t="b">
        <f t="shared" ca="1" si="4"/>
        <v>0</v>
      </c>
    </row>
    <row r="14" spans="1:13" x14ac:dyDescent="0.25">
      <c r="A14" s="9">
        <v>5</v>
      </c>
      <c r="B14" s="10" t="s">
        <v>6</v>
      </c>
      <c r="C14" s="9">
        <v>50</v>
      </c>
      <c r="D14" s="11">
        <f t="shared" si="1"/>
        <v>45774.444444444453</v>
      </c>
      <c r="E14" s="11">
        <f t="shared" si="0"/>
        <v>45813.333333333343</v>
      </c>
      <c r="F14" s="10">
        <v>50</v>
      </c>
      <c r="G14" s="11">
        <f t="shared" si="2"/>
        <v>45773.222222222226</v>
      </c>
      <c r="H14" s="11">
        <f>G14+(F14/9)*7</f>
        <v>45812.111111111117</v>
      </c>
      <c r="I14" s="11">
        <v>45781</v>
      </c>
      <c r="J14" s="11">
        <f t="shared" ref="J14:J20" si="5">IF(ISBLANK(I14),"",I14+(F14/9)*7)</f>
        <v>45819.888888888891</v>
      </c>
      <c r="K14" s="12">
        <v>1</v>
      </c>
      <c r="L14" s="13">
        <f t="shared" si="3"/>
        <v>0</v>
      </c>
      <c r="M14" s="10" t="b">
        <f t="shared" ca="1" si="4"/>
        <v>0</v>
      </c>
    </row>
    <row r="15" spans="1:13" x14ac:dyDescent="0.25">
      <c r="A15" s="9">
        <v>6</v>
      </c>
      <c r="B15" s="10" t="s">
        <v>7</v>
      </c>
      <c r="C15" s="9">
        <v>70</v>
      </c>
      <c r="D15" s="11">
        <f t="shared" si="1"/>
        <v>45814.333333333343</v>
      </c>
      <c r="E15" s="11">
        <f t="shared" si="0"/>
        <v>45868.777777777788</v>
      </c>
      <c r="F15" s="10">
        <v>75</v>
      </c>
      <c r="G15" s="11">
        <f t="shared" si="2"/>
        <v>45813.111111111117</v>
      </c>
      <c r="H15" s="11">
        <f>G15+(F15/9)*7+(3*7)</f>
        <v>45892.444444444453</v>
      </c>
      <c r="I15" s="11">
        <v>45820</v>
      </c>
      <c r="J15" s="11">
        <f t="shared" si="5"/>
        <v>45878.333333333336</v>
      </c>
      <c r="K15" s="12">
        <v>0.75</v>
      </c>
      <c r="L15" s="13">
        <f t="shared" si="3"/>
        <v>19</v>
      </c>
      <c r="M15" s="10">
        <f t="shared" ca="1" si="4"/>
        <v>-39</v>
      </c>
    </row>
    <row r="16" spans="1:13" x14ac:dyDescent="0.25">
      <c r="A16" s="9">
        <v>7</v>
      </c>
      <c r="B16" s="10" t="s">
        <v>8</v>
      </c>
      <c r="C16" s="9">
        <v>70</v>
      </c>
      <c r="D16" s="11">
        <f t="shared" si="1"/>
        <v>45869.777777777788</v>
      </c>
      <c r="E16" s="11">
        <f t="shared" si="0"/>
        <v>45924.222222222234</v>
      </c>
      <c r="F16" s="10">
        <v>70</v>
      </c>
      <c r="G16" s="11">
        <f t="shared" si="2"/>
        <v>45893.444444444453</v>
      </c>
      <c r="H16" s="11">
        <f>G16+(F16/9)*7</f>
        <v>45947.888888888898</v>
      </c>
      <c r="I16" s="11">
        <v>45924</v>
      </c>
      <c r="J16" s="11">
        <v>45962</v>
      </c>
      <c r="K16" s="10"/>
      <c r="L16" s="13">
        <f t="shared" si="3"/>
        <v>70</v>
      </c>
      <c r="M16" s="10">
        <f t="shared" ca="1" si="4"/>
        <v>45</v>
      </c>
    </row>
    <row r="17" spans="1:13" x14ac:dyDescent="0.25">
      <c r="A17" s="9">
        <v>8</v>
      </c>
      <c r="B17" s="10" t="s">
        <v>9</v>
      </c>
      <c r="C17" s="9">
        <v>70</v>
      </c>
      <c r="D17" s="11">
        <f t="shared" si="1"/>
        <v>45925.222222222234</v>
      </c>
      <c r="E17" s="11">
        <f t="shared" si="0"/>
        <v>45979.666666666679</v>
      </c>
      <c r="F17" s="10">
        <v>80</v>
      </c>
      <c r="G17" s="11">
        <f t="shared" si="2"/>
        <v>45948.888888888898</v>
      </c>
      <c r="H17" s="11">
        <f>G17+(F17/9)*7</f>
        <v>46011.111111111117</v>
      </c>
      <c r="I17" s="11">
        <v>45964</v>
      </c>
      <c r="J17" s="11">
        <f t="shared" si="5"/>
        <v>46026.222222222219</v>
      </c>
      <c r="K17" s="10"/>
      <c r="L17" s="13">
        <f t="shared" si="3"/>
        <v>80</v>
      </c>
      <c r="M17" s="10">
        <f t="shared" ca="1" si="4"/>
        <v>109</v>
      </c>
    </row>
    <row r="18" spans="1:13" x14ac:dyDescent="0.25">
      <c r="A18" s="9">
        <v>9</v>
      </c>
      <c r="B18" s="10" t="s">
        <v>10</v>
      </c>
      <c r="C18" s="9">
        <v>70</v>
      </c>
      <c r="D18" s="11">
        <f t="shared" si="1"/>
        <v>45980.666666666679</v>
      </c>
      <c r="E18" s="11">
        <f t="shared" si="0"/>
        <v>46035.111111111124</v>
      </c>
      <c r="F18" s="10">
        <v>80</v>
      </c>
      <c r="G18" s="11">
        <f t="shared" si="2"/>
        <v>46012.111111111117</v>
      </c>
      <c r="H18" s="11">
        <f>G18+(F18/9)*7+7</f>
        <v>46081.333333333336</v>
      </c>
      <c r="I18" s="11">
        <v>45668</v>
      </c>
      <c r="J18" s="11">
        <f t="shared" si="5"/>
        <v>45730.222222222219</v>
      </c>
      <c r="K18" s="10"/>
      <c r="L18" s="13">
        <f t="shared" si="3"/>
        <v>80</v>
      </c>
      <c r="M18" s="10">
        <f t="shared" ca="1" si="4"/>
        <v>-187</v>
      </c>
    </row>
    <row r="19" spans="1:13" x14ac:dyDescent="0.25">
      <c r="A19" s="9">
        <v>10</v>
      </c>
      <c r="B19" s="10" t="s">
        <v>11</v>
      </c>
      <c r="C19" s="9">
        <v>70</v>
      </c>
      <c r="D19" s="11">
        <f t="shared" si="1"/>
        <v>46036.111111111124</v>
      </c>
      <c r="E19" s="11">
        <f t="shared" si="0"/>
        <v>46090.555555555569</v>
      </c>
      <c r="F19" s="10">
        <v>80</v>
      </c>
      <c r="G19" s="11">
        <f t="shared" si="2"/>
        <v>46082.333333333336</v>
      </c>
      <c r="H19" s="11">
        <f>G19+(F19/9)*7</f>
        <v>46144.555555555555</v>
      </c>
      <c r="I19" s="11">
        <v>45731</v>
      </c>
      <c r="J19" s="11">
        <f t="shared" si="5"/>
        <v>45793.222222222219</v>
      </c>
      <c r="K19" s="10"/>
      <c r="L19" s="13">
        <f t="shared" si="3"/>
        <v>80</v>
      </c>
      <c r="M19" s="10">
        <f t="shared" ca="1" si="4"/>
        <v>-124</v>
      </c>
    </row>
    <row r="20" spans="1:13" x14ac:dyDescent="0.25">
      <c r="A20" s="9">
        <v>11</v>
      </c>
      <c r="B20" s="10" t="s">
        <v>12</v>
      </c>
      <c r="C20" s="9">
        <v>70</v>
      </c>
      <c r="D20" s="11">
        <f t="shared" si="1"/>
        <v>46091.555555555569</v>
      </c>
      <c r="E20" s="11">
        <f t="shared" si="0"/>
        <v>46146.000000000015</v>
      </c>
      <c r="F20" s="10">
        <v>75</v>
      </c>
      <c r="G20" s="11">
        <f t="shared" si="2"/>
        <v>46145.555555555555</v>
      </c>
      <c r="H20" s="11">
        <f>G20+(F20/9)*7</f>
        <v>46203.888888888891</v>
      </c>
      <c r="I20" s="11">
        <v>45793</v>
      </c>
      <c r="J20" s="11">
        <f t="shared" si="5"/>
        <v>45851.333333333336</v>
      </c>
      <c r="K20" s="10"/>
      <c r="L20" s="13">
        <f t="shared" si="3"/>
        <v>75</v>
      </c>
      <c r="M20" s="10">
        <f t="shared" ca="1" si="4"/>
        <v>-66</v>
      </c>
    </row>
  </sheetData>
  <mergeCells count="5">
    <mergeCell ref="C4:E4"/>
    <mergeCell ref="C5:E5"/>
    <mergeCell ref="C6:E6"/>
    <mergeCell ref="C7:E7"/>
    <mergeCell ref="A1:M1"/>
  </mergeCells>
  <conditionalFormatting sqref="E20">
    <cfRule type="expression" dxfId="2" priority="3">
      <formula>E$20&gt;=$C$7</formula>
    </cfRule>
  </conditionalFormatting>
  <conditionalFormatting sqref="H20">
    <cfRule type="expression" dxfId="1" priority="2">
      <formula>H$20&gt;=$C$7</formula>
    </cfRule>
  </conditionalFormatting>
  <conditionalFormatting sqref="J20">
    <cfRule type="expression" dxfId="0" priority="1">
      <formula>J$20&gt;=$C$7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Maela COLLONG</cp:lastModifiedBy>
  <dcterms:created xsi:type="dcterms:W3CDTF">2025-01-16T12:57:39Z</dcterms:created>
  <dcterms:modified xsi:type="dcterms:W3CDTF">2025-09-17T12:53:31Z</dcterms:modified>
</cp:coreProperties>
</file>